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c2\Box\05 Repositories\ACRP-Lab\input_data\"/>
    </mc:Choice>
  </mc:AlternateContent>
  <xr:revisionPtr revIDLastSave="0" documentId="13_ncr:1_{E989B230-BE5C-44D9-9142-7DA1E1B0A0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C3" i="2"/>
</calcChain>
</file>

<file path=xl/sharedStrings.xml><?xml version="1.0" encoding="utf-8"?>
<sst xmlns="http://schemas.openxmlformats.org/spreadsheetml/2006/main" count="22" uniqueCount="22">
  <si>
    <t>Aircraft</t>
  </si>
  <si>
    <t>Load (N)</t>
  </si>
  <si>
    <t>TiP (MPa)</t>
  </si>
  <si>
    <t>Contact Length (mm)</t>
  </si>
  <si>
    <t>Contact Width (mm)</t>
  </si>
  <si>
    <t>Ribs (mm)</t>
  </si>
  <si>
    <t>Load Factor</t>
  </si>
  <si>
    <t>Stress Factor</t>
  </si>
  <si>
    <t>50;35;40;90;40;35;50</t>
  </si>
  <si>
    <t>0.24;0.08;0.08;0.20;0.08;0.08;0.24</t>
  </si>
  <si>
    <t>B777-300ER</t>
  </si>
  <si>
    <t>70;45;90;45;70</t>
  </si>
  <si>
    <t>0.28;0.11;0.22;0.11;0.28</t>
  </si>
  <si>
    <t>1.80;1.10;1.10;1.10;1.80</t>
  </si>
  <si>
    <t>1.80;1.10;1.10;1.10;1.10;1.10;1.80</t>
  </si>
  <si>
    <t>Tires in CLG</t>
  </si>
  <si>
    <t>A380-800</t>
  </si>
  <si>
    <t>2D</t>
  </si>
  <si>
    <t>GW (lb)</t>
  </si>
  <si>
    <t>GW (N)</t>
  </si>
  <si>
    <t>Perc. GW on Gear</t>
  </si>
  <si>
    <t>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</si>
</sst>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B4C5-4AEC-4AA8-B7EE-2BD0192A9A62}">
  <dimension ref="A1:Z37"/>
  <sheetViews>
    <sheetView showGridLines="0" tabSelected="1" workbookViewId="0">
      <selection activeCell="I18" sqref="I18"/>
    </sheetView>
  </sheetViews>
  <sheetFormatPr defaultRowHeight="15" x14ac:dyDescent="0.25"/>
  <cols>
    <col min="1" max="1" width="12" style="3" customWidth="1"/>
    <col min="2" max="2" width="15.5703125" style="3" customWidth="1"/>
    <col min="3" max="3" width="13" style="3" customWidth="1"/>
    <col min="4" max="4" width="18" style="3" customWidth="1"/>
    <col min="5" max="5" width="9" style="3" customWidth="1"/>
    <col min="6" max="6" width="14.5703125" style="3" customWidth="1"/>
    <col min="7" max="7" width="14" style="3" customWidth="1"/>
    <col min="8" max="8" width="14.5703125" style="3" customWidth="1"/>
    <col min="9" max="9" width="22.7109375" style="3" customWidth="1"/>
    <col min="10" max="10" width="21.140625" style="3" customWidth="1"/>
    <col min="11" max="11" width="20.140625" style="3" customWidth="1"/>
    <col min="12" max="12" width="31.5703125" style="3" customWidth="1"/>
    <col min="13" max="13" width="32.5703125" style="3" customWidth="1"/>
    <col min="14" max="14" width="22" style="3" customWidth="1"/>
    <col min="15" max="15" width="15.5703125" style="3" customWidth="1"/>
    <col min="16" max="16" width="9.140625" style="3"/>
    <col min="17" max="17" width="13.140625" style="3" customWidth="1"/>
    <col min="18" max="16384" width="9.140625" style="3"/>
  </cols>
  <sheetData>
    <row r="1" spans="1:26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10</v>
      </c>
      <c r="B2" s="2"/>
      <c r="C2" s="2"/>
      <c r="D2" s="2"/>
      <c r="E2" s="2"/>
      <c r="F2" s="2"/>
      <c r="G2" s="4">
        <v>153436.65</v>
      </c>
      <c r="H2" s="6">
        <v>1.379</v>
      </c>
      <c r="I2" s="5">
        <v>380</v>
      </c>
      <c r="J2" s="5">
        <v>340</v>
      </c>
      <c r="K2" s="2" t="s">
        <v>8</v>
      </c>
      <c r="L2" s="2" t="s">
        <v>9</v>
      </c>
      <c r="M2" s="2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16</v>
      </c>
      <c r="B3" s="4">
        <v>1239000</v>
      </c>
      <c r="C3" s="4">
        <f>B3*4.44822162</f>
        <v>5511346.5871799998</v>
      </c>
      <c r="D3" s="2">
        <v>0.38</v>
      </c>
      <c r="E3" s="2" t="s">
        <v>17</v>
      </c>
      <c r="F3" s="2">
        <v>8</v>
      </c>
      <c r="G3" s="4">
        <f>C3*D3/F3</f>
        <v>261788.96289105</v>
      </c>
      <c r="H3" s="6">
        <v>1.45</v>
      </c>
      <c r="I3" s="5">
        <v>560</v>
      </c>
      <c r="J3" s="5">
        <v>360</v>
      </c>
      <c r="K3" s="2" t="s">
        <v>11</v>
      </c>
      <c r="L3" s="2" t="s">
        <v>12</v>
      </c>
      <c r="M3" s="2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4"/>
      <c r="H4" s="5"/>
      <c r="I4" s="5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4"/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4"/>
      <c r="H6" s="5"/>
      <c r="I6" s="5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4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4"/>
      <c r="H8" s="5"/>
      <c r="I8" s="5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4"/>
      <c r="H9" s="5"/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4"/>
      <c r="H10" s="5"/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4"/>
      <c r="H11" s="5"/>
      <c r="I11" s="5"/>
      <c r="J11" s="5"/>
      <c r="K11" s="2"/>
      <c r="L11" s="2"/>
      <c r="M11" s="2"/>
      <c r="N11" s="4"/>
      <c r="O11" s="4"/>
      <c r="P11" s="4"/>
      <c r="Q11" s="4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4"/>
      <c r="H12" s="5"/>
      <c r="I12" s="5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4"/>
      <c r="H13" s="5"/>
      <c r="I13" s="5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4"/>
      <c r="H14" s="5"/>
      <c r="I14" s="5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4"/>
      <c r="H15" s="5"/>
      <c r="I15" s="5"/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4"/>
      <c r="H16" s="5"/>
      <c r="I16" s="5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4"/>
      <c r="H17" s="5"/>
      <c r="I17" s="5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4"/>
      <c r="H18" s="5"/>
      <c r="I18" s="5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4"/>
      <c r="H19" s="5"/>
      <c r="I19" s="5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4"/>
      <c r="H20" s="5"/>
      <c r="I20" s="5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4"/>
      <c r="H21" s="5"/>
      <c r="I21" s="5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4"/>
      <c r="H22" s="5"/>
      <c r="I22" s="5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4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4"/>
      <c r="H24" s="5"/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4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4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4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4"/>
      <c r="H28" s="5"/>
      <c r="I28" s="5"/>
      <c r="J28" s="5"/>
      <c r="K28" s="2"/>
      <c r="L28" s="2"/>
      <c r="M28" s="2"/>
    </row>
    <row r="29" spans="1:26" x14ac:dyDescent="0.25">
      <c r="A29" s="2"/>
      <c r="B29" s="2"/>
      <c r="C29" s="2"/>
      <c r="D29" s="2"/>
      <c r="E29" s="2"/>
      <c r="F29" s="2"/>
      <c r="G29" s="4"/>
      <c r="H29" s="5"/>
      <c r="I29" s="5"/>
      <c r="J29" s="5"/>
      <c r="K29" s="2"/>
      <c r="L29" s="2"/>
      <c r="M29" s="2"/>
    </row>
    <row r="30" spans="1:26" x14ac:dyDescent="0.25">
      <c r="A30" s="2"/>
      <c r="B30" s="2"/>
      <c r="C30" s="2"/>
      <c r="D30" s="2"/>
      <c r="E30" s="2"/>
      <c r="F30" s="2"/>
      <c r="G30" s="4"/>
      <c r="H30" s="5"/>
      <c r="I30" s="5"/>
      <c r="J30" s="5"/>
      <c r="K30" s="2"/>
      <c r="L30" s="2"/>
      <c r="M30" s="2"/>
    </row>
    <row r="31" spans="1:26" x14ac:dyDescent="0.25">
      <c r="A31" s="2"/>
      <c r="B31" s="2"/>
      <c r="C31" s="2"/>
      <c r="D31" s="2"/>
      <c r="E31" s="2"/>
      <c r="F31" s="2"/>
      <c r="G31" s="4"/>
      <c r="H31" s="5"/>
      <c r="I31" s="5"/>
      <c r="J31" s="5"/>
      <c r="K31" s="2"/>
      <c r="L31" s="2"/>
      <c r="M31" s="2"/>
    </row>
    <row r="32" spans="1:26" x14ac:dyDescent="0.25">
      <c r="A32" s="2"/>
      <c r="B32" s="2"/>
      <c r="C32" s="2"/>
      <c r="D32" s="2"/>
      <c r="E32" s="2"/>
      <c r="F32" s="2"/>
      <c r="G32" s="4"/>
      <c r="H32" s="5"/>
      <c r="I32" s="5"/>
      <c r="J32" s="5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4"/>
      <c r="H33" s="5"/>
      <c r="I33" s="5"/>
      <c r="J33" s="5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4"/>
      <c r="H34" s="5"/>
      <c r="I34" s="5"/>
      <c r="J34" s="5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4"/>
      <c r="H35" s="5"/>
      <c r="I35" s="5"/>
      <c r="J35" s="5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4"/>
      <c r="H36" s="5"/>
      <c r="I36" s="5"/>
      <c r="J36" s="5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4"/>
      <c r="H37" s="5"/>
      <c r="I37" s="5"/>
      <c r="J37" s="5"/>
      <c r="K37" s="2"/>
      <c r="L37" s="2"/>
      <c r="M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Cardenas Huaman, Johann</cp:lastModifiedBy>
  <dcterms:created xsi:type="dcterms:W3CDTF">2026-01-28T20:56:34Z</dcterms:created>
  <dcterms:modified xsi:type="dcterms:W3CDTF">2026-01-28T22:50:04Z</dcterms:modified>
</cp:coreProperties>
</file>